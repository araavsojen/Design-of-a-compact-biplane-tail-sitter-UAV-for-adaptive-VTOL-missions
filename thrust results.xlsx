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avsojen/Documents/Masters Research project/results.data/"/>
    </mc:Choice>
  </mc:AlternateContent>
  <xr:revisionPtr revIDLastSave="0" documentId="13_ncr:1_{A4B2DA0A-0D7E-3849-A65D-A9206B663CFD}" xr6:coauthVersionLast="47" xr6:coauthVersionMax="47" xr10:uidLastSave="{00000000-0000-0000-0000-000000000000}"/>
  <bookViews>
    <workbookView xWindow="0" yWindow="660" windowWidth="29400" windowHeight="18460" xr2:uid="{845DA488-66B4-164F-925B-C9C1B2875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U28" i="1"/>
  <c r="U29" i="1"/>
  <c r="U30" i="1"/>
  <c r="U31" i="1"/>
  <c r="U32" i="1"/>
  <c r="U33" i="1"/>
  <c r="U34" i="1"/>
  <c r="U35" i="1"/>
  <c r="U36" i="1"/>
  <c r="U27" i="1"/>
  <c r="Q28" i="1"/>
  <c r="Q29" i="1"/>
  <c r="Q30" i="1"/>
  <c r="Q31" i="1"/>
  <c r="Q32" i="1"/>
  <c r="Q33" i="1"/>
  <c r="Q34" i="1"/>
  <c r="Q35" i="1"/>
  <c r="Q36" i="1"/>
  <c r="Q27" i="1"/>
  <c r="L28" i="1"/>
  <c r="L29" i="1"/>
  <c r="L30" i="1"/>
  <c r="L31" i="1"/>
  <c r="L32" i="1"/>
  <c r="L33" i="1"/>
  <c r="L34" i="1"/>
  <c r="L35" i="1"/>
  <c r="L36" i="1"/>
  <c r="L27" i="1"/>
  <c r="AD28" i="1"/>
  <c r="AD29" i="1"/>
  <c r="AD30" i="1"/>
  <c r="AD31" i="1"/>
  <c r="AD32" i="1"/>
  <c r="AD33" i="1"/>
  <c r="AD34" i="1"/>
  <c r="AD35" i="1"/>
  <c r="AD36" i="1"/>
  <c r="AD27" i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27" i="1"/>
  <c r="AC27" i="1" s="1"/>
  <c r="J15" i="1"/>
  <c r="J14" i="1"/>
  <c r="J13" i="1"/>
  <c r="J12" i="1"/>
  <c r="J11" i="1"/>
  <c r="J10" i="1"/>
  <c r="J9" i="1"/>
  <c r="J8" i="1"/>
  <c r="J7" i="1"/>
  <c r="J6" i="1"/>
  <c r="G27" i="1"/>
  <c r="E27" i="1"/>
  <c r="F27" i="1" s="1"/>
  <c r="G28" i="1"/>
  <c r="G29" i="1"/>
  <c r="G30" i="1"/>
  <c r="G31" i="1"/>
  <c r="G32" i="1"/>
  <c r="G33" i="1"/>
  <c r="G34" i="1"/>
  <c r="G35" i="1"/>
  <c r="F21" i="1"/>
  <c r="E48" i="1"/>
  <c r="E47" i="1"/>
  <c r="E49" i="1"/>
  <c r="E50" i="1"/>
  <c r="E51" i="1"/>
  <c r="E52" i="1"/>
  <c r="E53" i="1"/>
  <c r="E54" i="1"/>
  <c r="E55" i="1"/>
  <c r="E56" i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D22" i="1"/>
  <c r="D21" i="1"/>
  <c r="D14" i="1"/>
  <c r="D6" i="1"/>
  <c r="D7" i="1"/>
  <c r="D8" i="1"/>
  <c r="D9" i="1"/>
  <c r="D10" i="1"/>
  <c r="D11" i="1"/>
  <c r="D12" i="1"/>
  <c r="D13" i="1"/>
  <c r="D5" i="1"/>
</calcChain>
</file>

<file path=xl/sharedStrings.xml><?xml version="1.0" encoding="utf-8"?>
<sst xmlns="http://schemas.openxmlformats.org/spreadsheetml/2006/main" count="144" uniqueCount="105">
  <si>
    <t>Thrust(g)</t>
  </si>
  <si>
    <t>Throttle Percentage(%)</t>
  </si>
  <si>
    <t>Thrust per motor(g)</t>
  </si>
  <si>
    <t xml:space="preserve">                                                       Open propeller model</t>
  </si>
  <si>
    <t>Current(A)</t>
  </si>
  <si>
    <t>Voltage(V)</t>
  </si>
  <si>
    <t>9.7</t>
  </si>
  <si>
    <t>9.98</t>
  </si>
  <si>
    <t>4.02</t>
  </si>
  <si>
    <t>9.91</t>
  </si>
  <si>
    <t>6.5</t>
  </si>
  <si>
    <t>9.9</t>
  </si>
  <si>
    <t>9.5</t>
  </si>
  <si>
    <t>9.82</t>
  </si>
  <si>
    <t>12.5</t>
  </si>
  <si>
    <t>9.75</t>
  </si>
  <si>
    <t>19.3</t>
  </si>
  <si>
    <t>23.1</t>
  </si>
  <si>
    <t>9.52</t>
  </si>
  <si>
    <t>9.61</t>
  </si>
  <si>
    <t>9.50</t>
  </si>
  <si>
    <t>23.43</t>
  </si>
  <si>
    <t>Thrust stand</t>
  </si>
  <si>
    <t>Wind speed(m/s)</t>
  </si>
  <si>
    <t>Drag no Drone (g)</t>
  </si>
  <si>
    <t>Drag with drone(g)</t>
  </si>
  <si>
    <t>Drag of Drone(g)</t>
  </si>
  <si>
    <t>Throttle percentage(%)</t>
  </si>
  <si>
    <t>Thrust rig reading(g)</t>
  </si>
  <si>
    <t>Assumed thrust rig reading(g)</t>
  </si>
  <si>
    <t>Downwash effects(g)</t>
  </si>
  <si>
    <t>Lift Data</t>
  </si>
  <si>
    <t>Downwash lift(g)</t>
  </si>
  <si>
    <t>Mini drone model</t>
  </si>
  <si>
    <t>Drag with mini drone(g)</t>
  </si>
  <si>
    <t>Drag of mini drone(g)</t>
  </si>
  <si>
    <t>Current</t>
  </si>
  <si>
    <t>Voltage</t>
  </si>
  <si>
    <t>0.94</t>
  </si>
  <si>
    <t>9.94</t>
  </si>
  <si>
    <t>2.3</t>
  </si>
  <si>
    <t>4.08</t>
  </si>
  <si>
    <t>6.95</t>
  </si>
  <si>
    <t>8.7</t>
  </si>
  <si>
    <t>11.57</t>
  </si>
  <si>
    <t>15.7</t>
  </si>
  <si>
    <t>18.97</t>
  </si>
  <si>
    <t>20.45</t>
  </si>
  <si>
    <t>25.78</t>
  </si>
  <si>
    <t>9.83</t>
  </si>
  <si>
    <t>9.69</t>
  </si>
  <si>
    <t>9.63</t>
  </si>
  <si>
    <t>9.6</t>
  </si>
  <si>
    <t>9.58</t>
  </si>
  <si>
    <t>9.56</t>
  </si>
  <si>
    <t>9.55</t>
  </si>
  <si>
    <t>Force on rig(g)</t>
  </si>
  <si>
    <t>0.93</t>
  </si>
  <si>
    <t>2.25</t>
  </si>
  <si>
    <t>0.79</t>
  </si>
  <si>
    <t>2.13</t>
  </si>
  <si>
    <t>3.87</t>
  </si>
  <si>
    <t>12.1</t>
  </si>
  <si>
    <t>23.2</t>
  </si>
  <si>
    <t>22.1</t>
  </si>
  <si>
    <t>15.3</t>
  </si>
  <si>
    <t>6.25</t>
  </si>
  <si>
    <t>9.07</t>
  </si>
  <si>
    <t>18.2</t>
  </si>
  <si>
    <t>9.97</t>
  </si>
  <si>
    <t>9.95</t>
  </si>
  <si>
    <t>9.87</t>
  </si>
  <si>
    <t>9.74</t>
  </si>
  <si>
    <t>9.64</t>
  </si>
  <si>
    <t>9.48</t>
  </si>
  <si>
    <t>3 degree angle of attack readings</t>
  </si>
  <si>
    <t>Force on drone(g)</t>
  </si>
  <si>
    <t>Drag with drone</t>
  </si>
  <si>
    <t>Drag of drone</t>
  </si>
  <si>
    <t>90g</t>
  </si>
  <si>
    <t>36g</t>
  </si>
  <si>
    <t>5 degree angle of attack</t>
  </si>
  <si>
    <t>Drag with drone ducted(g)</t>
  </si>
  <si>
    <t>propeller drag(g)</t>
  </si>
  <si>
    <t>force on mini drone(g)</t>
  </si>
  <si>
    <t>Open prop(g)</t>
  </si>
  <si>
    <t>Ducted fan(g)</t>
  </si>
  <si>
    <t>0.92</t>
  </si>
  <si>
    <t>2.23</t>
  </si>
  <si>
    <t>4.01</t>
  </si>
  <si>
    <t>6.43</t>
  </si>
  <si>
    <t>9.46</t>
  </si>
  <si>
    <t>12.34</t>
  </si>
  <si>
    <t>15.87</t>
  </si>
  <si>
    <t>18.98</t>
  </si>
  <si>
    <t>23.02</t>
  </si>
  <si>
    <t>23.32</t>
  </si>
  <si>
    <t>Force on drone</t>
  </si>
  <si>
    <t>Throttle(%)</t>
  </si>
  <si>
    <t>Thrust rig reading</t>
  </si>
  <si>
    <t>7 degree angle of attack</t>
  </si>
  <si>
    <t>98g</t>
  </si>
  <si>
    <t>111g</t>
  </si>
  <si>
    <t>44g</t>
  </si>
  <si>
    <t>57g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</si>
</sst>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BEBC-5552-634D-A9FF-2985C7FBC1CB}">
  <dimension ref="A3:AF56"/>
  <sheetViews>
    <sheetView tabSelected="1" topLeftCell="A2" zoomScale="93" workbookViewId="0">
      <selection activeCell="E24" sqref="E24"/>
    </sheetView>
  </sheetViews>
  <sheetFormatPr baseColWidth="10" defaultRowHeight="16" x14ac:dyDescent="0.2"/>
  <cols>
    <col min="1" max="1" width="19" customWidth="1"/>
    <col min="2" max="2" width="23.33203125" customWidth="1"/>
    <col min="3" max="3" width="22" customWidth="1"/>
    <col min="4" max="4" width="28.5" customWidth="1"/>
    <col min="5" max="5" width="30" customWidth="1"/>
    <col min="6" max="6" width="20.1640625" customWidth="1"/>
    <col min="7" max="7" width="23.1640625" customWidth="1"/>
    <col min="8" max="8" width="22.1640625" customWidth="1"/>
    <col min="9" max="9" width="18.33203125" customWidth="1"/>
    <col min="10" max="10" width="28.5" customWidth="1"/>
    <col min="11" max="11" width="25.83203125" customWidth="1"/>
    <col min="12" max="12" width="17.83203125" customWidth="1"/>
    <col min="16" max="16" width="13.83203125" customWidth="1"/>
    <col min="17" max="17" width="24.1640625" customWidth="1"/>
    <col min="18" max="18" width="22.83203125" customWidth="1"/>
    <col min="19" max="19" width="32.83203125" customWidth="1"/>
    <col min="20" max="21" width="24" customWidth="1"/>
    <col min="22" max="22" width="13.6640625" customWidth="1"/>
    <col min="27" max="27" width="19" customWidth="1"/>
    <col min="28" max="28" width="15" customWidth="1"/>
    <col min="29" max="29" width="15.83203125" customWidth="1"/>
  </cols>
  <sheetData>
    <row r="3" spans="2:12" x14ac:dyDescent="0.2">
      <c r="B3" t="s">
        <v>3</v>
      </c>
    </row>
    <row r="4" spans="2:12" x14ac:dyDescent="0.2">
      <c r="B4" t="s">
        <v>1</v>
      </c>
      <c r="C4" t="s">
        <v>0</v>
      </c>
      <c r="D4" t="s">
        <v>2</v>
      </c>
      <c r="E4" t="s">
        <v>4</v>
      </c>
      <c r="F4" t="s">
        <v>5</v>
      </c>
    </row>
    <row r="5" spans="2:12" x14ac:dyDescent="0.2">
      <c r="B5">
        <v>10</v>
      </c>
      <c r="C5">
        <v>22</v>
      </c>
      <c r="D5">
        <f>C5/4</f>
        <v>5.5</v>
      </c>
      <c r="E5" t="s">
        <v>57</v>
      </c>
      <c r="F5">
        <v>10</v>
      </c>
      <c r="H5" t="s">
        <v>1</v>
      </c>
      <c r="I5" t="s">
        <v>0</v>
      </c>
      <c r="J5" t="s">
        <v>2</v>
      </c>
      <c r="K5" t="s">
        <v>4</v>
      </c>
      <c r="L5" t="s">
        <v>5</v>
      </c>
    </row>
    <row r="6" spans="2:12" x14ac:dyDescent="0.2">
      <c r="B6">
        <v>20</v>
      </c>
      <c r="C6">
        <v>48</v>
      </c>
      <c r="D6">
        <f t="shared" ref="D6:D14" si="0">C6/4</f>
        <v>12</v>
      </c>
      <c r="E6" t="s">
        <v>58</v>
      </c>
      <c r="F6" t="s">
        <v>7</v>
      </c>
      <c r="H6">
        <v>10</v>
      </c>
      <c r="I6">
        <v>19</v>
      </c>
      <c r="J6">
        <f>I6/4</f>
        <v>4.75</v>
      </c>
      <c r="K6" t="s">
        <v>87</v>
      </c>
      <c r="L6">
        <v>10</v>
      </c>
    </row>
    <row r="7" spans="2:12" x14ac:dyDescent="0.2">
      <c r="B7">
        <v>30</v>
      </c>
      <c r="C7">
        <v>85</v>
      </c>
      <c r="D7">
        <f t="shared" si="0"/>
        <v>21.25</v>
      </c>
      <c r="E7" t="s">
        <v>8</v>
      </c>
      <c r="F7" t="s">
        <v>9</v>
      </c>
      <c r="H7">
        <v>20</v>
      </c>
      <c r="I7">
        <v>43</v>
      </c>
      <c r="J7">
        <f t="shared" ref="J7:J15" si="1">I7/4</f>
        <v>10.75</v>
      </c>
      <c r="K7" t="s">
        <v>88</v>
      </c>
      <c r="L7" t="s">
        <v>7</v>
      </c>
    </row>
    <row r="8" spans="2:12" x14ac:dyDescent="0.2">
      <c r="B8">
        <v>40</v>
      </c>
      <c r="C8">
        <v>130</v>
      </c>
      <c r="D8">
        <f t="shared" si="0"/>
        <v>32.5</v>
      </c>
      <c r="E8" t="s">
        <v>10</v>
      </c>
      <c r="F8" t="s">
        <v>11</v>
      </c>
      <c r="H8">
        <v>30</v>
      </c>
      <c r="I8">
        <v>83</v>
      </c>
      <c r="J8">
        <f t="shared" si="1"/>
        <v>20.75</v>
      </c>
      <c r="K8" t="s">
        <v>89</v>
      </c>
      <c r="L8" t="s">
        <v>9</v>
      </c>
    </row>
    <row r="9" spans="2:12" x14ac:dyDescent="0.2">
      <c r="B9">
        <v>50</v>
      </c>
      <c r="C9">
        <v>190</v>
      </c>
      <c r="D9">
        <f t="shared" si="0"/>
        <v>47.5</v>
      </c>
      <c r="E9" t="s">
        <v>12</v>
      </c>
      <c r="F9" t="s">
        <v>13</v>
      </c>
      <c r="H9">
        <v>40</v>
      </c>
      <c r="I9">
        <v>126</v>
      </c>
      <c r="J9">
        <f t="shared" si="1"/>
        <v>31.5</v>
      </c>
      <c r="K9" t="s">
        <v>90</v>
      </c>
      <c r="L9" t="s">
        <v>11</v>
      </c>
    </row>
    <row r="10" spans="2:12" x14ac:dyDescent="0.2">
      <c r="B10">
        <v>60</v>
      </c>
      <c r="C10">
        <v>260</v>
      </c>
      <c r="D10">
        <f t="shared" si="0"/>
        <v>65</v>
      </c>
      <c r="E10" t="s">
        <v>14</v>
      </c>
      <c r="F10" t="s">
        <v>15</v>
      </c>
      <c r="H10">
        <v>50</v>
      </c>
      <c r="I10">
        <v>185</v>
      </c>
      <c r="J10">
        <f t="shared" si="1"/>
        <v>46.25</v>
      </c>
      <c r="K10" t="s">
        <v>91</v>
      </c>
      <c r="L10" t="s">
        <v>13</v>
      </c>
    </row>
    <row r="11" spans="2:12" x14ac:dyDescent="0.2">
      <c r="B11">
        <v>70</v>
      </c>
      <c r="C11">
        <v>320</v>
      </c>
      <c r="D11">
        <f t="shared" si="0"/>
        <v>80</v>
      </c>
      <c r="E11">
        <v>16</v>
      </c>
      <c r="F11" t="s">
        <v>6</v>
      </c>
      <c r="H11">
        <v>60</v>
      </c>
      <c r="I11">
        <v>253</v>
      </c>
      <c r="J11">
        <f t="shared" si="1"/>
        <v>63.25</v>
      </c>
      <c r="K11" t="s">
        <v>92</v>
      </c>
      <c r="L11" t="s">
        <v>15</v>
      </c>
    </row>
    <row r="12" spans="2:12" x14ac:dyDescent="0.2">
      <c r="B12">
        <v>80</v>
      </c>
      <c r="C12">
        <v>395</v>
      </c>
      <c r="D12">
        <f t="shared" si="0"/>
        <v>98.75</v>
      </c>
      <c r="E12" t="s">
        <v>16</v>
      </c>
      <c r="F12" t="s">
        <v>19</v>
      </c>
      <c r="H12">
        <v>70</v>
      </c>
      <c r="I12">
        <v>316</v>
      </c>
      <c r="J12">
        <f t="shared" si="1"/>
        <v>79</v>
      </c>
      <c r="K12" t="s">
        <v>93</v>
      </c>
      <c r="L12" t="s">
        <v>6</v>
      </c>
    </row>
    <row r="13" spans="2:12" x14ac:dyDescent="0.2">
      <c r="B13">
        <v>90</v>
      </c>
      <c r="C13">
        <v>430</v>
      </c>
      <c r="D13">
        <f t="shared" si="0"/>
        <v>107.5</v>
      </c>
      <c r="E13" t="s">
        <v>17</v>
      </c>
      <c r="F13" t="s">
        <v>18</v>
      </c>
      <c r="H13">
        <v>80</v>
      </c>
      <c r="I13">
        <v>388</v>
      </c>
      <c r="J13">
        <f>I13/4</f>
        <v>97</v>
      </c>
      <c r="K13" t="s">
        <v>94</v>
      </c>
      <c r="L13" t="s">
        <v>19</v>
      </c>
    </row>
    <row r="14" spans="2:12" x14ac:dyDescent="0.2">
      <c r="B14">
        <v>100</v>
      </c>
      <c r="C14">
        <v>455</v>
      </c>
      <c r="D14">
        <f t="shared" si="0"/>
        <v>113.75</v>
      </c>
      <c r="E14" t="s">
        <v>21</v>
      </c>
      <c r="F14" t="s">
        <v>20</v>
      </c>
      <c r="H14">
        <v>90</v>
      </c>
      <c r="I14">
        <v>422</v>
      </c>
      <c r="J14">
        <f>I14/4</f>
        <v>105.5</v>
      </c>
      <c r="K14" t="s">
        <v>95</v>
      </c>
      <c r="L14" t="s">
        <v>18</v>
      </c>
    </row>
    <row r="15" spans="2:12" x14ac:dyDescent="0.2">
      <c r="H15">
        <v>100</v>
      </c>
      <c r="I15">
        <v>440</v>
      </c>
      <c r="J15">
        <f t="shared" si="1"/>
        <v>110</v>
      </c>
      <c r="K15" t="s">
        <v>96</v>
      </c>
      <c r="L15" t="s">
        <v>20</v>
      </c>
    </row>
    <row r="18" spans="1:32" x14ac:dyDescent="0.2">
      <c r="B18" t="s">
        <v>22</v>
      </c>
    </row>
    <row r="19" spans="1:32" x14ac:dyDescent="0.2">
      <c r="A19" t="s">
        <v>23</v>
      </c>
      <c r="B19" t="s">
        <v>24</v>
      </c>
      <c r="C19" t="s">
        <v>25</v>
      </c>
      <c r="D19" t="s">
        <v>26</v>
      </c>
      <c r="E19" t="s">
        <v>34</v>
      </c>
      <c r="F19" t="s">
        <v>35</v>
      </c>
      <c r="G19" t="s">
        <v>82</v>
      </c>
    </row>
    <row r="20" spans="1:32" x14ac:dyDescent="0.2">
      <c r="A20">
        <v>5</v>
      </c>
    </row>
    <row r="21" spans="1:32" x14ac:dyDescent="0.2">
      <c r="A21">
        <v>10</v>
      </c>
      <c r="B21">
        <v>54</v>
      </c>
      <c r="C21">
        <v>74</v>
      </c>
      <c r="D21">
        <f>C21-B21</f>
        <v>20</v>
      </c>
      <c r="E21">
        <v>95</v>
      </c>
      <c r="F21">
        <f>E21-B21</f>
        <v>41</v>
      </c>
      <c r="G21">
        <v>79</v>
      </c>
      <c r="J21" t="s">
        <v>75</v>
      </c>
      <c r="K21" t="s">
        <v>78</v>
      </c>
      <c r="Q21" t="s">
        <v>81</v>
      </c>
      <c r="R21" t="s">
        <v>78</v>
      </c>
      <c r="U21" t="s">
        <v>100</v>
      </c>
      <c r="V21" t="s">
        <v>78</v>
      </c>
      <c r="AB21" t="s">
        <v>81</v>
      </c>
    </row>
    <row r="22" spans="1:32" x14ac:dyDescent="0.2">
      <c r="A22">
        <v>15</v>
      </c>
      <c r="B22">
        <v>120</v>
      </c>
      <c r="C22">
        <v>157</v>
      </c>
      <c r="D22">
        <f>C22-B22</f>
        <v>37</v>
      </c>
      <c r="I22" t="s">
        <v>77</v>
      </c>
      <c r="J22" t="s">
        <v>79</v>
      </c>
      <c r="K22" t="s">
        <v>80</v>
      </c>
      <c r="P22" t="s">
        <v>77</v>
      </c>
      <c r="Q22" t="s">
        <v>101</v>
      </c>
      <c r="R22" t="s">
        <v>103</v>
      </c>
      <c r="T22" t="s">
        <v>77</v>
      </c>
      <c r="U22" t="s">
        <v>102</v>
      </c>
      <c r="V22" t="s">
        <v>104</v>
      </c>
    </row>
    <row r="24" spans="1:32" x14ac:dyDescent="0.2">
      <c r="AB24" t="s">
        <v>33</v>
      </c>
    </row>
    <row r="26" spans="1:32" x14ac:dyDescent="0.2">
      <c r="C26" t="s">
        <v>27</v>
      </c>
      <c r="D26" t="s">
        <v>28</v>
      </c>
      <c r="E26" t="s">
        <v>29</v>
      </c>
      <c r="F26" t="s">
        <v>30</v>
      </c>
      <c r="G26" t="s">
        <v>76</v>
      </c>
      <c r="H26" t="s">
        <v>4</v>
      </c>
      <c r="I26" t="s">
        <v>5</v>
      </c>
      <c r="J26" t="s">
        <v>27</v>
      </c>
      <c r="K26" t="s">
        <v>28</v>
      </c>
      <c r="L26" t="s">
        <v>97</v>
      </c>
      <c r="P26" t="s">
        <v>98</v>
      </c>
      <c r="Q26" t="s">
        <v>99</v>
      </c>
      <c r="R26" t="s">
        <v>76</v>
      </c>
      <c r="T26" t="s">
        <v>98</v>
      </c>
      <c r="U26" t="s">
        <v>99</v>
      </c>
      <c r="V26" t="s">
        <v>76</v>
      </c>
      <c r="Z26" t="s">
        <v>27</v>
      </c>
      <c r="AA26" t="s">
        <v>28</v>
      </c>
      <c r="AB26" t="s">
        <v>29</v>
      </c>
      <c r="AC26" t="s">
        <v>83</v>
      </c>
      <c r="AD26" t="s">
        <v>84</v>
      </c>
      <c r="AE26" t="s">
        <v>36</v>
      </c>
      <c r="AF26" t="s">
        <v>37</v>
      </c>
    </row>
    <row r="27" spans="1:32" x14ac:dyDescent="0.2">
      <c r="C27">
        <v>10</v>
      </c>
      <c r="D27">
        <v>80</v>
      </c>
      <c r="E27">
        <f>-C5+$C$21</f>
        <v>52</v>
      </c>
      <c r="F27">
        <f>D27-E27</f>
        <v>28</v>
      </c>
      <c r="G27">
        <f>D27-$B$21</f>
        <v>26</v>
      </c>
      <c r="H27" s="1" t="s">
        <v>59</v>
      </c>
      <c r="I27" t="s">
        <v>69</v>
      </c>
      <c r="J27">
        <v>10</v>
      </c>
      <c r="K27">
        <v>100</v>
      </c>
      <c r="L27">
        <f>K27-$B$21</f>
        <v>46</v>
      </c>
      <c r="P27">
        <v>10</v>
      </c>
      <c r="Q27">
        <f>R27+$B$21</f>
        <v>114</v>
      </c>
      <c r="R27">
        <v>60</v>
      </c>
      <c r="T27">
        <v>10</v>
      </c>
      <c r="U27">
        <f>V27+$B$21</f>
        <v>126</v>
      </c>
      <c r="V27">
        <v>72</v>
      </c>
      <c r="Z27">
        <v>10</v>
      </c>
      <c r="AA27">
        <v>120</v>
      </c>
      <c r="AB27">
        <f>$E$21-C5</f>
        <v>73</v>
      </c>
      <c r="AC27">
        <f>AA27-AB27</f>
        <v>47</v>
      </c>
      <c r="AD27">
        <f>AA27-B21</f>
        <v>66</v>
      </c>
      <c r="AE27" t="s">
        <v>38</v>
      </c>
      <c r="AF27" t="s">
        <v>39</v>
      </c>
    </row>
    <row r="28" spans="1:32" x14ac:dyDescent="0.2">
      <c r="C28">
        <v>20</v>
      </c>
      <c r="D28">
        <v>55</v>
      </c>
      <c r="E28">
        <f t="shared" ref="E28:E36" si="2">-C6+$C$21</f>
        <v>26</v>
      </c>
      <c r="F28">
        <f>D28-E28</f>
        <v>29</v>
      </c>
      <c r="G28">
        <f t="shared" ref="G28:G36" si="3">D28-$B$21</f>
        <v>1</v>
      </c>
      <c r="H28" s="1" t="s">
        <v>60</v>
      </c>
      <c r="I28" t="s">
        <v>70</v>
      </c>
      <c r="J28">
        <v>20</v>
      </c>
      <c r="K28">
        <v>80</v>
      </c>
      <c r="L28">
        <f t="shared" ref="L28:L36" si="4">K28-$B$21</f>
        <v>26</v>
      </c>
      <c r="P28">
        <v>20</v>
      </c>
      <c r="Q28">
        <f t="shared" ref="Q28:Q36" si="5">R28+$B$21</f>
        <v>97</v>
      </c>
      <c r="R28">
        <v>43</v>
      </c>
      <c r="T28">
        <v>20</v>
      </c>
      <c r="U28">
        <f t="shared" ref="U28:U36" si="6">V28+$B$21</f>
        <v>113</v>
      </c>
      <c r="V28">
        <v>59</v>
      </c>
      <c r="Z28">
        <v>20</v>
      </c>
      <c r="AA28">
        <v>90</v>
      </c>
      <c r="AB28">
        <f>$E$21-C6</f>
        <v>47</v>
      </c>
      <c r="AC28">
        <f t="shared" ref="AC28:AC36" si="7">AA28-AB28</f>
        <v>43</v>
      </c>
      <c r="AD28">
        <f>AA28-B22</f>
        <v>-30</v>
      </c>
      <c r="AE28" t="s">
        <v>40</v>
      </c>
      <c r="AF28" t="s">
        <v>39</v>
      </c>
    </row>
    <row r="29" spans="1:32" x14ac:dyDescent="0.2">
      <c r="C29">
        <v>30</v>
      </c>
      <c r="D29">
        <v>17</v>
      </c>
      <c r="E29">
        <f t="shared" si="2"/>
        <v>-11</v>
      </c>
      <c r="F29">
        <f t="shared" ref="F29:F36" si="8">D29-E29</f>
        <v>28</v>
      </c>
      <c r="G29">
        <f t="shared" si="3"/>
        <v>-37</v>
      </c>
      <c r="H29" s="1" t="s">
        <v>61</v>
      </c>
      <c r="I29" t="s">
        <v>9</v>
      </c>
      <c r="J29">
        <v>30</v>
      </c>
      <c r="K29">
        <v>48</v>
      </c>
      <c r="L29">
        <f t="shared" si="4"/>
        <v>-6</v>
      </c>
      <c r="P29">
        <v>30</v>
      </c>
      <c r="Q29">
        <f t="shared" si="5"/>
        <v>69</v>
      </c>
      <c r="R29">
        <v>15</v>
      </c>
      <c r="T29">
        <v>30</v>
      </c>
      <c r="U29">
        <f t="shared" si="6"/>
        <v>89</v>
      </c>
      <c r="V29">
        <v>35</v>
      </c>
      <c r="Z29">
        <v>30</v>
      </c>
      <c r="AA29">
        <v>64</v>
      </c>
      <c r="AB29">
        <f>$E$21-C7</f>
        <v>10</v>
      </c>
      <c r="AC29">
        <f t="shared" si="7"/>
        <v>54</v>
      </c>
      <c r="AD29">
        <f>AA29-B23</f>
        <v>64</v>
      </c>
      <c r="AE29" t="s">
        <v>41</v>
      </c>
      <c r="AF29" t="s">
        <v>49</v>
      </c>
    </row>
    <row r="30" spans="1:32" x14ac:dyDescent="0.2">
      <c r="C30">
        <v>40</v>
      </c>
      <c r="D30">
        <v>-43</v>
      </c>
      <c r="E30">
        <f t="shared" si="2"/>
        <v>-56</v>
      </c>
      <c r="F30">
        <f t="shared" si="8"/>
        <v>13</v>
      </c>
      <c r="G30">
        <f t="shared" si="3"/>
        <v>-97</v>
      </c>
      <c r="H30" s="1" t="s">
        <v>66</v>
      </c>
      <c r="I30" t="s">
        <v>71</v>
      </c>
      <c r="J30">
        <v>40</v>
      </c>
      <c r="K30">
        <v>-2</v>
      </c>
      <c r="L30">
        <f t="shared" si="4"/>
        <v>-56</v>
      </c>
      <c r="P30">
        <v>40</v>
      </c>
      <c r="Q30">
        <f t="shared" si="5"/>
        <v>26</v>
      </c>
      <c r="R30">
        <v>-28</v>
      </c>
      <c r="T30">
        <v>40</v>
      </c>
      <c r="U30">
        <f t="shared" si="6"/>
        <v>53</v>
      </c>
      <c r="V30">
        <v>-1</v>
      </c>
      <c r="Z30">
        <v>40</v>
      </c>
      <c r="AA30">
        <v>13</v>
      </c>
      <c r="AB30">
        <f>$E$21-C8</f>
        <v>-35</v>
      </c>
      <c r="AC30">
        <f t="shared" si="7"/>
        <v>48</v>
      </c>
      <c r="AD30">
        <f>AA30-B24</f>
        <v>13</v>
      </c>
      <c r="AE30" t="s">
        <v>42</v>
      </c>
      <c r="AF30" t="s">
        <v>15</v>
      </c>
    </row>
    <row r="31" spans="1:32" x14ac:dyDescent="0.2">
      <c r="C31">
        <v>50</v>
      </c>
      <c r="D31">
        <v>-104</v>
      </c>
      <c r="E31">
        <f t="shared" si="2"/>
        <v>-116</v>
      </c>
      <c r="F31">
        <f t="shared" si="8"/>
        <v>12</v>
      </c>
      <c r="G31">
        <f t="shared" si="3"/>
        <v>-158</v>
      </c>
      <c r="H31" s="1" t="s">
        <v>67</v>
      </c>
      <c r="I31" t="s">
        <v>13</v>
      </c>
      <c r="J31">
        <v>50</v>
      </c>
      <c r="K31">
        <v>-50</v>
      </c>
      <c r="L31">
        <f t="shared" si="4"/>
        <v>-104</v>
      </c>
      <c r="P31">
        <v>50</v>
      </c>
      <c r="Q31">
        <f t="shared" si="5"/>
        <v>-14</v>
      </c>
      <c r="R31">
        <v>-68</v>
      </c>
      <c r="T31">
        <v>50</v>
      </c>
      <c r="U31">
        <f t="shared" si="6"/>
        <v>22</v>
      </c>
      <c r="V31">
        <v>-32</v>
      </c>
      <c r="Z31">
        <v>50</v>
      </c>
      <c r="AA31">
        <v>-34</v>
      </c>
      <c r="AB31">
        <f>$E$21-C9</f>
        <v>-95</v>
      </c>
      <c r="AC31">
        <f t="shared" si="7"/>
        <v>61</v>
      </c>
      <c r="AD31">
        <f>AA31-B25</f>
        <v>-34</v>
      </c>
      <c r="AE31" t="s">
        <v>43</v>
      </c>
      <c r="AF31" t="s">
        <v>50</v>
      </c>
    </row>
    <row r="32" spans="1:32" x14ac:dyDescent="0.2">
      <c r="C32">
        <v>60</v>
      </c>
      <c r="D32">
        <v>-140</v>
      </c>
      <c r="E32">
        <f t="shared" si="2"/>
        <v>-186</v>
      </c>
      <c r="F32">
        <f t="shared" si="8"/>
        <v>46</v>
      </c>
      <c r="G32">
        <f t="shared" si="3"/>
        <v>-194</v>
      </c>
      <c r="H32" s="1" t="s">
        <v>62</v>
      </c>
      <c r="I32" t="s">
        <v>72</v>
      </c>
      <c r="J32">
        <v>60</v>
      </c>
      <c r="K32">
        <v>-130</v>
      </c>
      <c r="L32">
        <f t="shared" si="4"/>
        <v>-184</v>
      </c>
      <c r="P32">
        <v>60</v>
      </c>
      <c r="Q32">
        <f t="shared" si="5"/>
        <v>-123</v>
      </c>
      <c r="R32">
        <v>-177</v>
      </c>
      <c r="T32">
        <v>60</v>
      </c>
      <c r="U32">
        <f t="shared" si="6"/>
        <v>-116</v>
      </c>
      <c r="V32">
        <v>-170</v>
      </c>
      <c r="Z32">
        <v>60</v>
      </c>
      <c r="AA32">
        <v>-113</v>
      </c>
      <c r="AB32">
        <f>$E$21-C10</f>
        <v>-165</v>
      </c>
      <c r="AC32">
        <f t="shared" si="7"/>
        <v>52</v>
      </c>
      <c r="AD32">
        <f>AA32-B26</f>
        <v>-113</v>
      </c>
      <c r="AE32" t="s">
        <v>44</v>
      </c>
      <c r="AF32" t="s">
        <v>51</v>
      </c>
    </row>
    <row r="33" spans="1:32" x14ac:dyDescent="0.2">
      <c r="C33">
        <v>70</v>
      </c>
      <c r="D33">
        <v>-200</v>
      </c>
      <c r="E33">
        <f t="shared" si="2"/>
        <v>-246</v>
      </c>
      <c r="F33">
        <f t="shared" si="8"/>
        <v>46</v>
      </c>
      <c r="G33">
        <f t="shared" si="3"/>
        <v>-254</v>
      </c>
      <c r="H33" s="1" t="s">
        <v>65</v>
      </c>
      <c r="I33" t="s">
        <v>73</v>
      </c>
      <c r="J33">
        <v>70</v>
      </c>
      <c r="K33">
        <v>-180</v>
      </c>
      <c r="L33">
        <f t="shared" si="4"/>
        <v>-234</v>
      </c>
      <c r="P33">
        <v>70</v>
      </c>
      <c r="Q33">
        <f t="shared" si="5"/>
        <v>-166</v>
      </c>
      <c r="R33">
        <v>-220</v>
      </c>
      <c r="T33">
        <v>70</v>
      </c>
      <c r="U33">
        <f t="shared" si="6"/>
        <v>-153</v>
      </c>
      <c r="V33">
        <v>-207</v>
      </c>
      <c r="Z33">
        <v>70</v>
      </c>
      <c r="AA33">
        <v>-168</v>
      </c>
      <c r="AB33">
        <f>$E$21-C11</f>
        <v>-225</v>
      </c>
      <c r="AC33">
        <f t="shared" si="7"/>
        <v>57</v>
      </c>
      <c r="AD33">
        <f>AA33-B27</f>
        <v>-168</v>
      </c>
      <c r="AE33" t="s">
        <v>45</v>
      </c>
      <c r="AF33" t="s">
        <v>52</v>
      </c>
    </row>
    <row r="34" spans="1:32" x14ac:dyDescent="0.2">
      <c r="C34">
        <v>80</v>
      </c>
      <c r="D34">
        <v>-250</v>
      </c>
      <c r="E34">
        <f t="shared" si="2"/>
        <v>-321</v>
      </c>
      <c r="F34">
        <f t="shared" si="8"/>
        <v>71</v>
      </c>
      <c r="G34">
        <f t="shared" si="3"/>
        <v>-304</v>
      </c>
      <c r="H34" s="1" t="s">
        <v>68</v>
      </c>
      <c r="I34" t="s">
        <v>52</v>
      </c>
      <c r="J34">
        <v>80</v>
      </c>
      <c r="K34">
        <v>-240</v>
      </c>
      <c r="L34">
        <f t="shared" si="4"/>
        <v>-294</v>
      </c>
      <c r="P34">
        <v>80</v>
      </c>
      <c r="Q34">
        <f t="shared" si="5"/>
        <v>-233</v>
      </c>
      <c r="R34">
        <v>-287</v>
      </c>
      <c r="T34">
        <v>80</v>
      </c>
      <c r="U34">
        <f t="shared" si="6"/>
        <v>-226</v>
      </c>
      <c r="V34">
        <v>-280</v>
      </c>
      <c r="Z34">
        <v>80</v>
      </c>
      <c r="AA34">
        <v>-220</v>
      </c>
      <c r="AB34">
        <f>$E$21-C12</f>
        <v>-300</v>
      </c>
      <c r="AC34">
        <f t="shared" si="7"/>
        <v>80</v>
      </c>
      <c r="AD34">
        <f>AA34-B28</f>
        <v>-220</v>
      </c>
      <c r="AE34" t="s">
        <v>46</v>
      </c>
      <c r="AF34" t="s">
        <v>53</v>
      </c>
    </row>
    <row r="35" spans="1:32" x14ac:dyDescent="0.2">
      <c r="C35">
        <v>90</v>
      </c>
      <c r="D35">
        <v>-300</v>
      </c>
      <c r="E35">
        <f t="shared" si="2"/>
        <v>-356</v>
      </c>
      <c r="F35">
        <f t="shared" si="8"/>
        <v>56</v>
      </c>
      <c r="G35">
        <f t="shared" si="3"/>
        <v>-354</v>
      </c>
      <c r="H35" s="1" t="s">
        <v>64</v>
      </c>
      <c r="I35" t="s">
        <v>18</v>
      </c>
      <c r="J35">
        <v>90</v>
      </c>
      <c r="K35">
        <v>-280</v>
      </c>
      <c r="L35">
        <f t="shared" si="4"/>
        <v>-334</v>
      </c>
      <c r="P35">
        <v>90</v>
      </c>
      <c r="Q35">
        <f t="shared" si="5"/>
        <v>-266</v>
      </c>
      <c r="R35">
        <v>-320</v>
      </c>
      <c r="T35">
        <v>90</v>
      </c>
      <c r="U35">
        <f t="shared" si="6"/>
        <v>-253</v>
      </c>
      <c r="V35">
        <v>-307</v>
      </c>
      <c r="Z35">
        <v>90</v>
      </c>
      <c r="AA35">
        <v>-240</v>
      </c>
      <c r="AB35">
        <f>$E$21-C13</f>
        <v>-335</v>
      </c>
      <c r="AC35">
        <f t="shared" si="7"/>
        <v>95</v>
      </c>
      <c r="AD35">
        <f>AA35-B29</f>
        <v>-240</v>
      </c>
      <c r="AE35" t="s">
        <v>47</v>
      </c>
      <c r="AF35" t="s">
        <v>54</v>
      </c>
    </row>
    <row r="36" spans="1:32" x14ac:dyDescent="0.2">
      <c r="C36">
        <v>100</v>
      </c>
      <c r="D36">
        <v>-330</v>
      </c>
      <c r="E36">
        <f t="shared" si="2"/>
        <v>-381</v>
      </c>
      <c r="F36">
        <f t="shared" si="8"/>
        <v>51</v>
      </c>
      <c r="G36">
        <f>D36-$B$21</f>
        <v>-384</v>
      </c>
      <c r="H36" s="1" t="s">
        <v>63</v>
      </c>
      <c r="I36" t="s">
        <v>74</v>
      </c>
      <c r="J36">
        <v>100</v>
      </c>
      <c r="K36">
        <v>-310</v>
      </c>
      <c r="L36">
        <f t="shared" si="4"/>
        <v>-364</v>
      </c>
      <c r="P36">
        <v>100</v>
      </c>
      <c r="Q36">
        <f t="shared" si="5"/>
        <v>-296</v>
      </c>
      <c r="R36">
        <v>-350</v>
      </c>
      <c r="T36">
        <v>100</v>
      </c>
      <c r="U36">
        <f t="shared" si="6"/>
        <v>-283</v>
      </c>
      <c r="V36">
        <v>-337</v>
      </c>
      <c r="Z36">
        <v>100</v>
      </c>
      <c r="AA36">
        <v>-287</v>
      </c>
      <c r="AB36">
        <f>$E$21-C14</f>
        <v>-360</v>
      </c>
      <c r="AC36">
        <f t="shared" si="7"/>
        <v>73</v>
      </c>
      <c r="AD36">
        <f>AA36-B30</f>
        <v>-287</v>
      </c>
      <c r="AE36" t="s">
        <v>48</v>
      </c>
      <c r="AF36" t="s">
        <v>55</v>
      </c>
    </row>
    <row r="39" spans="1:32" x14ac:dyDescent="0.2">
      <c r="D39" t="s">
        <v>31</v>
      </c>
    </row>
    <row r="41" spans="1:32" x14ac:dyDescent="0.2">
      <c r="A41" t="s">
        <v>23</v>
      </c>
      <c r="B41" t="s">
        <v>56</v>
      </c>
      <c r="C41" t="s">
        <v>85</v>
      </c>
      <c r="D41" t="s">
        <v>86</v>
      </c>
    </row>
    <row r="42" spans="1:32" x14ac:dyDescent="0.2">
      <c r="A42">
        <v>0</v>
      </c>
    </row>
    <row r="43" spans="1:32" x14ac:dyDescent="0.2">
      <c r="A43">
        <v>10</v>
      </c>
      <c r="B43">
        <v>-120</v>
      </c>
      <c r="C43">
        <v>-80</v>
      </c>
      <c r="D43">
        <v>-118</v>
      </c>
    </row>
    <row r="44" spans="1:32" x14ac:dyDescent="0.2">
      <c r="A44">
        <v>15</v>
      </c>
      <c r="B44">
        <v>-250</v>
      </c>
    </row>
    <row r="46" spans="1:32" x14ac:dyDescent="0.2">
      <c r="C46" t="s">
        <v>27</v>
      </c>
      <c r="D46" t="s">
        <v>28</v>
      </c>
      <c r="E46" t="s">
        <v>32</v>
      </c>
    </row>
    <row r="47" spans="1:32" x14ac:dyDescent="0.2">
      <c r="C47">
        <v>10</v>
      </c>
      <c r="D47">
        <v>-130</v>
      </c>
      <c r="E47">
        <f>D47-$B$43</f>
        <v>-10</v>
      </c>
    </row>
    <row r="48" spans="1:32" x14ac:dyDescent="0.2">
      <c r="C48">
        <v>20</v>
      </c>
      <c r="D48">
        <v>-140</v>
      </c>
      <c r="E48">
        <f>D48-$B$43</f>
        <v>-20</v>
      </c>
    </row>
    <row r="49" spans="3:5" x14ac:dyDescent="0.2">
      <c r="C49">
        <v>30</v>
      </c>
      <c r="D49">
        <v>-178</v>
      </c>
      <c r="E49">
        <f t="shared" ref="E49:E56" si="9">D49-$B$43</f>
        <v>-58</v>
      </c>
    </row>
    <row r="50" spans="3:5" x14ac:dyDescent="0.2">
      <c r="C50">
        <v>40</v>
      </c>
      <c r="D50">
        <v>-204</v>
      </c>
      <c r="E50">
        <f t="shared" si="9"/>
        <v>-84</v>
      </c>
    </row>
    <row r="51" spans="3:5" x14ac:dyDescent="0.2">
      <c r="C51">
        <v>50</v>
      </c>
      <c r="D51">
        <v>-220</v>
      </c>
      <c r="E51">
        <f t="shared" si="9"/>
        <v>-100</v>
      </c>
    </row>
    <row r="52" spans="3:5" x14ac:dyDescent="0.2">
      <c r="C52">
        <v>60</v>
      </c>
      <c r="D52">
        <v>-250</v>
      </c>
      <c r="E52">
        <f t="shared" si="9"/>
        <v>-130</v>
      </c>
    </row>
    <row r="53" spans="3:5" x14ac:dyDescent="0.2">
      <c r="C53">
        <v>70</v>
      </c>
      <c r="D53">
        <v>-280</v>
      </c>
      <c r="E53">
        <f t="shared" si="9"/>
        <v>-160</v>
      </c>
    </row>
    <row r="54" spans="3:5" x14ac:dyDescent="0.2">
      <c r="C54">
        <v>80</v>
      </c>
      <c r="D54">
        <v>-300</v>
      </c>
      <c r="E54">
        <f t="shared" si="9"/>
        <v>-180</v>
      </c>
    </row>
    <row r="55" spans="3:5" x14ac:dyDescent="0.2">
      <c r="C55">
        <v>90</v>
      </c>
      <c r="D55">
        <v>-305</v>
      </c>
      <c r="E55">
        <f t="shared" si="9"/>
        <v>-185</v>
      </c>
    </row>
    <row r="56" spans="3:5" x14ac:dyDescent="0.2">
      <c r="C56">
        <v>100</v>
      </c>
      <c r="D56">
        <v>-320</v>
      </c>
      <c r="E56">
        <f t="shared" si="9"/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Araav Sojen</dc:creator>
  <cp:lastModifiedBy>Araav Sojen</cp:lastModifiedBy>
  <dcterms:created xsi:type="dcterms:W3CDTF">2025-10-07T11:59:34Z</dcterms:created>
  <dcterms:modified xsi:type="dcterms:W3CDTF">2025-11-20T09:30:34Z</dcterms:modified>
</cp:coreProperties>
</file>